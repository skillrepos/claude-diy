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1F4E9A"/>
      <sz val="11"/>
    </font>
    <font>
      <name val="Calibri"/>
      <i val="1"/>
      <color rgb="00595959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B2A20"/>
      </patternFill>
    </fill>
    <fill>
      <patternFill patternType="solid">
        <fgColor rgb="00F5E6D3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6" fillId="0" borderId="1" pivotButton="0" quotePrefix="0" xfId="0"/>
    <xf numFmtId="164" fontId="7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0" fontId="6" fillId="3" borderId="0" pivotButton="0" quotePrefix="0" xfId="0"/>
    <xf numFmtId="164" fontId="7" fillId="3" borderId="0" pivotButton="0" quotePrefix="0" xfId="0"/>
    <xf numFmtId="164" fontId="6" fillId="3" borderId="0" pivotButton="0" quotePrefix="0" xfId="0"/>
    <xf numFmtId="0" fontId="6" fillId="0" borderId="0" pivotButton="0" quotePrefix="0" xfId="0"/>
    <xf numFmtId="165" fontId="7" fillId="0" borderId="0" pivotButton="0" quotePrefix="0" xfId="0"/>
    <xf numFmtId="165" fontId="6" fillId="0" borderId="0" pivotButton="0" quotePrefix="0" xfId="0"/>
    <xf numFmtId="0" fontId="6" fillId="3" borderId="1" pivotButton="0" quotePrefix="0" xfId="0"/>
    <xf numFmtId="164" fontId="6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Harborview Coffee Co. — FY2026 Profit &amp; Loss</t>
        </is>
      </c>
    </row>
    <row r="2">
      <c r="A2" s="2" t="inlineStr">
        <is>
          <t>Fiscal year July 2025 – June 2026 · all figures in $000s · sample data</t>
        </is>
      </c>
    </row>
    <row r="4">
      <c r="A4" s="3" t="inlineStr">
        <is>
          <t>Line item</t>
        </is>
      </c>
      <c r="B4" s="4" t="inlineStr">
        <is>
          <t>Q1</t>
        </is>
      </c>
      <c r="C4" s="4" t="inlineStr">
        <is>
          <t>Q2</t>
        </is>
      </c>
      <c r="D4" s="4" t="inlineStr">
        <is>
          <t>Q3</t>
        </is>
      </c>
      <c r="E4" s="4" t="inlineStr">
        <is>
          <t>Q4</t>
        </is>
      </c>
      <c r="F4" s="4" t="inlineStr">
        <is>
          <t>FY Total</t>
        </is>
      </c>
    </row>
    <row r="5">
      <c r="A5" t="inlineStr">
        <is>
          <t>Café Sales</t>
        </is>
      </c>
      <c r="B5" s="5" t="n">
        <v>310</v>
      </c>
      <c r="C5" s="5" t="n">
        <v>325</v>
      </c>
      <c r="D5" s="5" t="n">
        <v>352</v>
      </c>
      <c r="E5" s="5" t="n">
        <v>371</v>
      </c>
    </row>
    <row r="6">
      <c r="A6" t="inlineStr">
        <is>
          <t>Wholesale</t>
        </is>
      </c>
      <c r="B6" s="5" t="n">
        <v>142</v>
      </c>
      <c r="C6" s="5" t="n">
        <v>151</v>
      </c>
      <c r="D6" s="5" t="n">
        <v>149</v>
      </c>
      <c r="E6" s="5" t="n">
        <v>168</v>
      </c>
    </row>
    <row r="7">
      <c r="A7" t="inlineStr">
        <is>
          <t>Online Store</t>
        </is>
      </c>
      <c r="B7" s="5" t="n">
        <v>58</v>
      </c>
      <c r="C7" s="5" t="n">
        <v>61</v>
      </c>
      <c r="D7" s="5" t="n">
        <v>66</v>
      </c>
      <c r="E7" s="5" t="n">
        <v>89</v>
      </c>
    </row>
    <row r="8">
      <c r="A8" s="6" t="inlineStr">
        <is>
          <t>Total Revenue</t>
        </is>
      </c>
      <c r="B8" s="7">
        <f>SUM(B5:B7)</f>
        <v/>
      </c>
      <c r="C8" s="7">
        <f>C5+C6+#REF!</f>
        <v/>
      </c>
      <c r="D8" s="7">
        <f>SUM(D5:D7)</f>
        <v/>
      </c>
      <c r="E8" s="7">
        <f>SUM(E5:E7)</f>
        <v/>
      </c>
      <c r="F8" s="8">
        <f>SUM(B8:E8)</f>
        <v/>
      </c>
    </row>
    <row r="9">
      <c r="A9" s="9" t="inlineStr">
        <is>
          <t>Cost of Goods Sold</t>
        </is>
      </c>
    </row>
    <row r="10">
      <c r="A10" t="inlineStr">
        <is>
          <t>Coffee, Milk &amp; Food</t>
        </is>
      </c>
      <c r="B10" s="5" t="n">
        <v>148</v>
      </c>
      <c r="C10" s="5" t="n">
        <v>155</v>
      </c>
      <c r="D10" s="5" t="n">
        <v>166</v>
      </c>
      <c r="E10" s="5" t="n">
        <v>175</v>
      </c>
    </row>
    <row r="11">
      <c r="A11" t="inlineStr">
        <is>
          <t>Packaging &amp; Cups</t>
        </is>
      </c>
      <c r="B11" s="5" t="n">
        <v>21</v>
      </c>
      <c r="C11" s="5" t="n">
        <v>22</v>
      </c>
      <c r="D11" s="5" t="n">
        <v>24</v>
      </c>
      <c r="E11" s="5" t="n">
        <v>27</v>
      </c>
    </row>
    <row r="12">
      <c r="A12" s="6" t="inlineStr">
        <is>
          <t>Total COGS</t>
        </is>
      </c>
      <c r="B12" s="7">
        <f>SUM(B10:B11)</f>
        <v/>
      </c>
      <c r="C12" s="7">
        <f>SUM(C10:C11)</f>
        <v/>
      </c>
      <c r="D12" s="7">
        <f>SUM(D10:D11)</f>
        <v/>
      </c>
      <c r="E12" s="7">
        <f>SUM(E10:E11)</f>
        <v/>
      </c>
      <c r="F12" s="8">
        <f>SUM(B12:E12)</f>
        <v/>
      </c>
    </row>
    <row r="13">
      <c r="A13" s="10" t="inlineStr">
        <is>
          <t>Gross Profit</t>
        </is>
      </c>
      <c r="B13" s="11">
        <f>B8-B12</f>
        <v/>
      </c>
      <c r="C13" s="11">
        <f>C8-C12</f>
        <v/>
      </c>
      <c r="D13" s="11">
        <f>D8-D12</f>
        <v/>
      </c>
      <c r="E13" s="11">
        <f>E8-E12</f>
        <v/>
      </c>
      <c r="F13" s="12">
        <f>SUM(B13:E13)</f>
        <v/>
      </c>
    </row>
    <row r="14">
      <c r="A14" s="13" t="inlineStr">
        <is>
          <t>Gross Margin %</t>
        </is>
      </c>
      <c r="B14" s="14">
        <f>IFERROR(B13/B8,"")</f>
        <v/>
      </c>
      <c r="C14" s="14">
        <f>IFERROR(C13/C8,"")</f>
        <v/>
      </c>
      <c r="D14" s="14">
        <f>IFERROR(D13/D8,"")</f>
        <v/>
      </c>
      <c r="E14" s="14">
        <f>IFERROR(E13/E8,"")</f>
        <v/>
      </c>
      <c r="F14" s="15">
        <f>IFERROR(F13/F8,"")</f>
        <v/>
      </c>
    </row>
    <row r="15">
      <c r="A15" s="9" t="inlineStr">
        <is>
          <t>Operating Expenses</t>
        </is>
      </c>
    </row>
    <row r="16">
      <c r="A16" t="inlineStr">
        <is>
          <t>Staff</t>
        </is>
      </c>
      <c r="B16" s="5" t="n">
        <v>168</v>
      </c>
      <c r="C16" s="5" t="n">
        <v>172</v>
      </c>
      <c r="D16" s="5" t="n">
        <v>176</v>
      </c>
      <c r="E16" s="5" t="n">
        <v>181</v>
      </c>
    </row>
    <row r="17">
      <c r="A17" t="inlineStr">
        <is>
          <t>Rent &amp; Utilities</t>
        </is>
      </c>
      <c r="B17" s="5" t="n">
        <v>54</v>
      </c>
      <c r="C17" s="5" t="n">
        <v>54</v>
      </c>
      <c r="D17" s="5" t="n">
        <v>55</v>
      </c>
      <c r="E17" s="5" t="n">
        <v>55</v>
      </c>
    </row>
    <row r="18">
      <c r="A18" t="inlineStr">
        <is>
          <t>Marketing</t>
        </is>
      </c>
      <c r="B18" s="5" t="n">
        <v>12</v>
      </c>
      <c r="C18" s="5" t="n">
        <v>15</v>
      </c>
      <c r="D18" s="5" t="n">
        <v>13</v>
      </c>
      <c r="E18" s="5" t="n">
        <v>22</v>
      </c>
    </row>
    <row r="19">
      <c r="A19" s="6" t="inlineStr">
        <is>
          <t>Total Operating Expense</t>
        </is>
      </c>
      <c r="B19" s="7">
        <f>SUM(B16:B18)</f>
        <v/>
      </c>
      <c r="C19" s="7">
        <f>SUM(C16:C18)</f>
        <v/>
      </c>
      <c r="D19" s="7">
        <f>SUM(D16:D18)</f>
        <v/>
      </c>
      <c r="E19" s="7">
        <f>SUM(E16:E18)</f>
        <v/>
      </c>
      <c r="F19" s="8">
        <f>SUM(B19:E19)</f>
        <v/>
      </c>
    </row>
    <row r="20">
      <c r="A20" s="16" t="inlineStr">
        <is>
          <t>Operating Income</t>
        </is>
      </c>
      <c r="B20" s="17">
        <f>B13-B19</f>
        <v/>
      </c>
      <c r="C20" s="17">
        <f>C13-C19</f>
        <v/>
      </c>
      <c r="D20" s="17">
        <f>D13-D19</f>
        <v/>
      </c>
      <c r="E20" s="17">
        <f>E13-E19</f>
        <v/>
      </c>
      <c r="F20" s="17">
        <f>SUM(B20:E20)</f>
        <v/>
      </c>
    </row>
    <row r="23">
      <c r="A23" s="13" t="inlineStr">
        <is>
          <t>Legend</t>
        </is>
      </c>
    </row>
    <row r="24">
      <c r="A24" s="18" t="inlineStr">
        <is>
          <t>Blue figures are inputs — edit these.</t>
        </is>
      </c>
    </row>
    <row r="25">
      <c r="A25" t="inlineStr">
        <is>
          <t>Black figures are formulas — do not overwrite.</t>
        </is>
      </c>
    </row>
    <row r="26">
      <c r="A26" s="2" t="inlineStr">
        <is>
          <t>Sample data for a demo. Harborview Coffee Co. is a fictional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2026-10-12T15:05:55Z</dcterms:created>
  <dcterms:modified xmlns:dcterms="http://purl.org/dc/terms/" xmlns:xsi="http://www.w3.org/2001/XMLSchema-instance" xsi:type="dcterms:W3CDTF">2026-10-12T15:05:55Z</dcterms:modified>
</cp:coreProperties>
</file>